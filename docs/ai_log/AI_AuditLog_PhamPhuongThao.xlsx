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GitHub\CSD201_Group6\docs\ai_log\"/>
    </mc:Choice>
  </mc:AlternateContent>
  <bookViews>
    <workbookView xWindow="0" yWindow="0" windowWidth="25600" windowHeight="12380" activeTab="1"/>
  </bookViews>
  <sheets>
    <sheet name="1. Metadata &amp; Summary" sheetId="1" r:id="rId1"/>
    <sheet name="2. Detailed Audit Log" sheetId="2" r:id="rId2"/>
    <sheet name="3. Hallucination Detection" sheetId="3" r:id="rId3"/>
    <sheet name="4. Self-Assessment Checklist" sheetId="4" r:id="rId4"/>
  </sheets>
  <calcPr calcId="162913"/>
</workbook>
</file>

<file path=xl/calcChain.xml><?xml version="1.0" encoding="utf-8"?>
<calcChain xmlns="http://schemas.openxmlformats.org/spreadsheetml/2006/main">
  <c r="C12" i="1" l="1"/>
</calcChain>
</file>

<file path=xl/sharedStrings.xml><?xml version="1.0" encoding="utf-8"?>
<sst xmlns="http://schemas.openxmlformats.org/spreadsheetml/2006/main" count="245" uniqueCount="197">
  <si>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</si>
  <si>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</si>
  <si>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</si>
  <si>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</si>
  <si>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</si>
  <si>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</si>
  <si>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</si>
  <si>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</si>
  <si>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</si>
  <si>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</si>
  <si>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</si>
  <si>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</si>
  <si>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</si>
  <si>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</si>
  <si>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</si>
  <si>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</si>
  <si>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</si>
  <si>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</si>
  <si>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</si>
  <si>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</si>
  <si>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</si>
  <si>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</si>
  <si>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</si>
  <si>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</si>
  <si>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</si>
  <si>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</si>
  <si>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</si>
  <si>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</si>
  <si>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</si>
  <si>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</si>
  <si>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</si>
  <si>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</si>
  <si>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</si>
  <si>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</si>
  <si>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</si>
  <si>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</si>
  <si>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</si>
  <si>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</si>
  <si>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</si>
  <si>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</si>
  <si>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</si>
  <si>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</si>
  <si>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</si>
  <si>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</si>
  <si>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</si>
  <si>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</si>
  <si>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</si>
  <si>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</si>
  <si>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</si>
  <si>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</si>
  <si>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</si>
  <si>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</si>
  <si>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</si>
  <si>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</si>
  <si>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</si>
  <si>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</si>
  <si>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</si>
  <si>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</si>
  <si>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</si>
  <si>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</si>
  <si>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</si>
  <si>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</si>
  <si>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</si>
  <si>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</si>
  <si>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</si>
  <si>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</si>
  <si>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</si>
  <si>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</si>
  <si>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</si>
  <si>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</si>
  <si>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</si>
  <si>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</si>
  <si>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</si>
  <si>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</si>
  <si>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</si>
  <si>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</si>
  <si>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</si>
  <si>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</si>
  <si>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</si>
  <si>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</si>
  <si>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</si>
  <si>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</si>
  <si>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</si>
  <si>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</si>
  <si>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</si>
  <si>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</si>
  <si>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</si>
  <si>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</si>
  <si>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</si>
  <si>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</si>
  <si>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</si>
  <si>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</si>
  <si>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</si>
  <si>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</si>
  <si>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</si>
  <si>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</si>
  <si>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</si>
  <si>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</si>
  <si>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</si>
  <si>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</si>
  <si>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</si>
  <si>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</si>
  <si>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</si>
  <si>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</si>
  <si>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</si>
  <si>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</si>
  <si>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</si>
  <si>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</si>
  <si>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</si>
  <si>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</si>
  <si>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</si>
  <si>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</si>
  <si>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</si>
  <si>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</si>
  <si>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Pham Phuong Thao</t>
  </si>
  <si>
    <t>QE200053</t>
  </si>
  <si>
    <t>CSD201</t>
  </si>
  <si>
    <t>Smart Hospital Patient Triage System</t>
  </si>
  <si>
    <t>Hệ thống Emergency Room cần chọn bệnh nhân nguy hiểm nhất để đưa vào phòng cấp cứu trước. Nhóm cần quyết định giữa Queue FIFO thông thường và MinHeap Priority Queue.</t>
  </si>
  <si>
    <t>Trong hệ thống Emergency Room chỉ có 1 phòng cấp cứu, nên dùng Queue FIFO hay MinHeap Priority Queue để xử lý bệnh nhân theo mức độ nguy hiểm? Phân tích complexity và tính phù hợp thực tế.</t>
  </si>
  <si>
    <t>AI đề xuất sử dụng MinHeap vì Queue FIFO chỉ xử lý theo thứ tự đến trước, trong khi hệ thống ER cần ưu tiên bệnh nhân nguy hiểm hơn. AI cũng giải thích thao tác insert và remove trong Heap có complexity O(log n).</t>
  </si>
  <si>
    <t>Comparator trong heapifyUp() và heapifyDown()</t>
  </si>
  <si>
    <t>Cần xác định quy tắc hoán đổi node trong Min Heap khi có nhiều tiêu chí ưu tiên.</t>
  </si>
  <si>
    <t>Thiết kế thuật toán heapifyUp cho Min Heap khi bệnh nhân được sắp xếp theo Priority từ 1 đến 5. Nếu Priority bằng nhau thì bệnh nhân đến trước phải đứng trước.</t>
  </si>
  <si>
    <t>AI đề xuất so sánh Priority trước. Khi Priority bằng nhau, tiếp tục so sánh Arrival Time để quyết định việc swap.</t>
  </si>
  <si>
    <t>Trace thử với nhiều bệnh nhân có cùng mức ưu tiên cho kết quả ổn định.</t>
  </si>
  <si>
    <t>Kiểm tra tính đúng đắn của hàm lấy bệnh nhân tiếp theo từ Heap.</t>
  </si>
  <si>
    <t>Kiểm tra xem thuật toán pop() của Min Heap có xử lý đúng khi Heap chỉ còn một phần tử hay không</t>
  </si>
  <si>
    <t>AI trả lời rằng chỉ cần lấy root rồi gọi heapifyDown là đủ trong mọi trường hợp.</t>
  </si>
  <si>
    <t>Test case Heap gồm đúng 1 bệnh nhân không còn phát sinh lỗi.</t>
  </si>
  <si>
    <t>Oversimplification (Edge Case Missing)</t>
  </si>
  <si>
    <t>Cần phân phối bệnh nhân cho bác sĩ theo vòng tròn công bằng.</t>
  </si>
  <si>
    <t>AI đề xuất Circular Linked List vì sau bác sĩ cuối cùng có thể quay lại bác sĩ đầu tiên mà không cần reset thủ công.</t>
  </si>
  <si>
    <t>Để phân công bệnh nhân luân phiên giữa nhiều bác sĩ, nên dùng Array, Queue hay Circular Linked List?</t>
  </si>
  <si>
    <t>Test A → B → C → A sau 4 lần gọi nextDoctor().</t>
  </si>
  <si>
    <t>Critical Thinking: AI phân tích đúng ưu điểm của Circular Linked List.
Contextualization:Bệnh viện cần phân chia tải đều cho bác sĩ trực.CreativeSynthesis:Tôi kết hợp Circular Linked List với con trỏ currentDoctor để triển khai Round Robin Scheduling.Decision Ownership:Tôi chọn Circular Linked List vì mô hình dữ liệu khớp hoàn toàn với yêu cầu luân phiên.</t>
  </si>
  <si>
    <t xml:space="preserve">Critical Thinking: AI đúng khi đề xuất MinHeap cho triage system. Tuy nhiên phản hồi ban đầu chưa xử lý trường hợp hai bệnh nhân có cùng severity level. Nếu chỉ so sánh severity thì hệ thống sẽ thiếu tính công bằng. Contextualization: Trong thực tế ER, hai bệnh nhân cùng mức độ nguy hiểm sẽ được xét thêm thời gian đến khám (arrival timestamp). Đây là ràng buộc thực tế mà AI chưa tự suy luận đầy đủ. Creative Synthesis: Tôi bổ sung cơ chế composite priority:
(severity, timestamp)
để Heap trở thành stable priority queue. Điều này giúp hệ thống vừa ưu tiên ca nặng vừa tránh starvation. Decision: Tôi quyết định dùng MinHeap thay vì Queue FIFO vì nó phản ánh đúng nghiệp vụ triage của bệnh viện. Queue FIFO chỉ phù hợp cho hệ thống khám thường, không phù hợp emergency scheduling.
</t>
  </si>
  <si>
    <t>Critical Thinking: Giải pháp của AI hợp lý nhưng chưa giải thích rõ trường hợp hai bệnh nhân có cùng Priority và cùng timestamp.Contextualization: Trong hệ thống thực tế timestamp được tạo từ thời gian hệ thống nên gần như không trùng nhau, nhưng vẫn cần ID để xử lý triệt để.  Decision Ownership: Tôi sử dụng 3 mức so sánh: Priority → ArrivalTime → PatientID để bảo đảm kết quả xác định duy nhất.</t>
  </si>
  <si>
    <t>Critical Thinking: Tôi phát hiện đây là hallucination dạng Oversimplification. Nếu Heap chỉ còn một phần tử, việc gọi heapifyDown là không cần thiết và có thể gây lỗi truy cập chỉ số.Contextualization: Dự án cần hoạt động ổn định khi hàng đợi gần như rỗng vào cuối ngày làm việc.Decision Ownership: Tôi giữ cấu trúc Min Heap nhưng sửa thuật toán để xử lý riêng trường hợp size = 1.</t>
  </si>
  <si>
    <t>DECISION-MAKING</t>
  </si>
  <si>
    <t>004</t>
  </si>
  <si>
    <t>005</t>
  </si>
  <si>
    <t>Hàm nextDoctor() của tôi chỉ cần current = current.next là đủ đúng không?</t>
  </si>
  <si>
    <t>Kiểm tra độ chính xác của thuật toán Circular Linked List.</t>
  </si>
  <si>
    <t>Stress test với danh sách bác sĩ rỗng không còn lỗi.</t>
  </si>
  <si>
    <t>AI trả lời có, chỉ cần di chuyển con trỏ sang node tiếp theo.</t>
  </si>
  <si>
    <t>Critical Thinking: Tôi phát hiện đây là hallucination dạng Context Misunderstanding. Nếu danh sách rỗng hoặc current = null thì chương trình sẽ phát sinh NullPointerException. Contextualization:Trong giai đoạn khởi động hệ thống có thể chưa có bác sĩ nào được thêm vào.Creative Synthesis:Tôi bổ sung điều kiện:
if(head == null){
    return null;
}
trước khi truy cập current.next. Decision Ownership: Tôi giữ nguyên cấu trúc Circular Linked List nhưng thêm kiểm tra danh sách rỗng.</t>
  </si>
  <si>
    <t>"Hàm pop() của Min Heap chỉ cần lấy root rồi gọi heapifyDown() trong mọi trường hợp."</t>
  </si>
  <si>
    <t>Khi Heap chỉ còn 1 phần tử, việc gọi heapifyDown() là không cần thiết. Một số cài đặt có thể truy cập chỉ số không tồn tại hoặc thực hiện thao tác dư thừa.</t>
  </si>
  <si>
    <t>Tạo test case với Heap chỉ chứa 1 bệnh nhân. Sau khi gọi pop(), chương trình thực hiện các bước cân bằng cây dù Heap đã rỗng.</t>
  </si>
  <si>
    <t>Bổ sung điều kiện kiểm tra riêng cho trường hợp size == 1 trước khi gọi heapifyDown(). Sau khi sửa, Heap hoạt động ổn định với cả trường hợp chỉ có một phần tử.</t>
  </si>
  <si>
    <t>"Trong Circular Linked List, hàm nextDoctor() chỉ cần thực hiện current = current.next."</t>
  </si>
  <si>
    <t>Điều này chỉ đúng khi danh sách đã có ít nhất một bác sĩ. Nếu danh sách rỗng (head == null) thì sẽ phát sinh NullPointerException.</t>
  </si>
  <si>
    <t>Thực hiện stress test với hệ thống chưa thêm bác sĩ nào. Khi gọi nextDoctor(), chương trình bị lỗi do truy cập thuộc tính của đối tượng null.</t>
  </si>
  <si>
    <t>Thêm điều kiện kiểm tra danh sách rỗng trước khi di chuyển con trỏ: if(head == null) return null;. Sau khi sửa, hệ thống xử lý an toàn cả khi chưa có bác sĩ được đăng ký.</t>
  </si>
  <si>
    <t>Cần xác định phương pháp benchmark phù hợp để so sánh hiệu năng của Min-Heap, Sorted Linked List và Unsorted Array một cách khách quan. Benchmark hiện tại đo từng thao tác riêng lẻ nên kết quả dễ bị nhiễu.</t>
  </si>
  <si>
    <t>"So sánh BenchmarkRunner_old.java và BenchmarkRunner.java. Phân tích ưu nhược điểm của từng cách benchmark và đề xuất phương pháp đáng tin cậy hơn."</t>
  </si>
  <si>
    <t>AI phân tích rằng bản cũ đo từng thao tác bằng System.nanoTime() nên chịu ảnh hưởng lớn bởi overhead đo thời gian và JVM. AI đề xuất gom nhiều thao tác thành một batch, chạy nhiều vòng benchmark, warm-up JVM trước khi đo và sử dụng median để giảm ảnh hưởng của các giá trị ngoại lai.</t>
  </si>
  <si>
    <t>Critical Thinking: AI phân tích đúng nguyên nhân gây nhiễu nhưng chưa liên hệ với Research Question của dự án, vốn yêu cầu đánh giá khả năng duy trì hiệu năng dưới tải lớn chứ không chỉ đo tốc độ tức thời.
Contextualization: Project của nhóm không chỉ cần biết thao tác nào nhanh hơn mà còn phải so sánh tính ổn định của ba cấu trúc dữ liệu khi workload tăng dần.
Creative Synthesis: Tôi giữ lại toàn bộ cơ chế batch benchmark, median và warm-up nhưng bổ sung phần thống kê riêng cho insert, extract và workload stress để phục vụ đúng Research Question.
Decision Ownership: Quyết định sử dụng BenchmarkRunner mới vì kết quả ổn định hơn, giảm ảnh hưởng của JVM và phản ánh chính xác hơn hiệu năng của từng cấu trúc dữ liệu.</t>
  </si>
  <si>
    <t>Khi tăng số lượng updates mỗi phút lên rất cao, kết quả benchmark vẫn không xuất hiện trường hợp vượt ngưỡng 50ms như kỳ vọng.</t>
  </si>
  <si>
    <t>"Tại sao khi tăng workload lên 100000 updates/phút thì Sorted Linked List và Unsorted Array vẫn không vượt 50ms?"</t>
  </si>
  <si>
    <t>AI giải thích rằng benchmark cũ đang đo thời gian của từng thao tác riêng lẻ thay vì tổng workload, vì vậy mỗi insert hoặc extract vẫn nhỏ hơn rất nhiều so với 50ms mặc dù tổng thời gian batch đã tăng đáng kể.</t>
  </si>
  <si>
    <t xml:space="preserve">Critical Thinking: Ban đầu AI chỉ giải thích hiện tượng mà chưa chỉ ra sự khác biệt giữa ngưỡng của một thao tác và ngưỡng của cả batch benchmark.
Contextualization: Research Question của nhóm sử dụng đơn vị thời gian cho từng thao tác insert/extract, không phải tổng thời gian của một vòng benchmark.
Creative Synthesis: Tôi kiểm tra lại toàn bộ logic benchmark và xác nhận rằng cần tính thời gian trung bình trên mỗi thao tác thay vì so sánh trực tiếp batch time.
Decision Ownership: Quyết định sửa tiêu chí đánh giá benchmark để thống nhất với Research Question của đề tài.
</t>
  </si>
  <si>
    <t>006</t>
  </si>
  <si>
    <t>007</t>
  </si>
  <si>
    <t>008</t>
  </si>
  <si>
    <t>009</t>
  </si>
  <si>
    <t>Cần xác minh việc tính số lần vượt ngưỡng 50ms trong benchmark có đúng với yêu cầu nghiên cứu hay không.</t>
  </si>
  <si>
    <t>"Kiểm tra lại cách tính vượt_50ms trong Main.java. Ngưỡng 50ms nên áp dụng cho batch benchmark hay cho từng thao tác insert/extract?"</t>
  </si>
  <si>
    <t>AI ban đầu sử dụng median của cả batch benchmark để so sánh với 50ms. Sau khi đối chiếu với yêu cầu nghiên cứu, AI đồng ý sửa lại thành thời gian trung bình của mỗi thao tác (batchTime / numberOfUpdates).</t>
  </si>
  <si>
    <t xml:space="preserve">Critical Thinking: Tôi phát hiện AI đang áp dụng sai đơn vị đo, dẫn đến kết luận không phản ánh đúng Research Question.
Contextualization: Đề tài yêu cầu đánh giá thời gian của từng thao tác insert và extract-min, do đó việc so sánh cả batch với 50ms là không phù hợp.
Creative Synthesis: Tôi sửa lại công thức tính, đồng thời thay đổi toàn bộ phần thống kê và báo cáo đầu ra để hiển thị avg/update, worst/update và số lần vượt ngưỡng theo từng thao tác.
Decision Ownership: Quyết định cuối cùng là sử dụng avg/update &gt; 50ms làm tiêu chí đánh giá chính thức.
</t>
  </si>
  <si>
    <t>Cần xác minh liệu số lượng 9 round benchmark có đủ để đảm bảo tính ổn định của kết quả hay không.</t>
  </si>
  <si>
    <t>"Tại sao benchmark nên chạy 9 round thay vì chỉ chạy 1 hoặc 3 round?"</t>
  </si>
  <si>
    <t>AI giải thích rằng benchmark Java chịu ảnh hưởng bởi JIT Compilation, Garbage Collection và CPU Scheduling. Chạy nhiều round và lấy median sẽ giảm ảnh hưởng của các lần đo bất thường.</t>
  </si>
  <si>
    <t>Cần xây dựng flowchart cho hệ thống Smart Hospital. Ban đầu tôi đưa toàn bộ thuật toán của HashTable, Min-Heap, Circular Linked List và Doubly Linked List vào cùng một sơ đồ nên flowchart quá dài, khó đọc và trộn lẫn giữa nghiệp vụ với cài đặt.</t>
  </si>
  <si>
    <t>"Flowchart này có vấn đề gì không? Có nên đưa các thuật toán như heapifyUp(), heapifyDown(), HashTable chaining và polynomial rolling hash vào flowchart hệ thống không?"</t>
  </si>
  <si>
    <t>AI phân tích rằng flowchart đang trộn ba mức trừu tượng gồm Business Flow, System Flow và Algorithm Flow. AI đề xuất chỉ giữ các Use Case và lời gọi service trong flowchart hệ thống, còn các thuật toán của từng cấu trúc dữ liệu nên được tách thành các flowchart riêng.</t>
  </si>
  <si>
    <t xml:space="preserve">Critical Thinking: Tôi nhận thấy AI đúng khi chỉ ra flowchart quá chi tiết, nhưng không thể tự quyết định mức độ chi tiết phù hợp nếu không biết yêu cầu báo cáo của môn học.
Contextualization: Báo cáo của nhóm cần vừa mô tả hoạt động của hệ thống vừa giải thích việc sử dụng các cấu trúc dữ liệu. Vì vậy tôi không thể bỏ hoàn toàn phần thuật toán mà phải tách thành nhiều sơ đồ khác nhau.
Creative Synthesis: Tôi chia lại thành một flowchart tổng quan hệ thống và nhiều flowchart Use Case riêng như Register Patient, Call Patient, Search Patient, Delete Patient... Thuật toán của Min-Heap, HashTable, Circular Linked List và Doubly Linked List được tách thành các sơ đồ thuật toán độc lập.
Decision Ownership: Quyết định cuối cùng là phân tầng flowchart theo mức trừu tượng thay vì cố gắng đưa toàn bộ hệ thống vào một sơ đồ duy nhất.
</t>
  </si>
  <si>
    <t>Critical Thinking: AI giải thích đúng về median nhưng chưa chỉ rõ vì sao chọn số lẻ thay vì số chẵn.
Contextualization: Benchmark của nhóm cần so sánh ba cấu trúc dữ liệu trong cùng điều kiện nên việc sử dụng median của 9 round giúp kết quả ổn định và dễ tái lập hơn.
Creative Synthesis: Tôi giữ nguyên 9 round benchmark, đồng thời bổ sung phần giải thích trong báo cáo để làm rõ lý do lựa chọn median thay vì average.
Decision Ownership: Quyết định giữ cấu hình 9 round vì cân bằng giữa thời gian chạy và độ tin cậy của kết quả benchmark.</t>
  </si>
  <si>
    <t>Sau khi tách flowchart theo từng Use Case, cần kiểm tra xem các thao tác trên HashTable, Min-Heap và Doubly Linked List có nên thể hiện là các nhánh chạy song song hay thực hiện tuần tự.</t>
  </si>
  <si>
    <t>"Trong flowchart Register Patient và Delete Patient, các thao tác HashTable, DoublyLinkedList và TriageMinHeap nên vẽ song song hay tuần tự để phản ánh đúng chương trình Java?"</t>
  </si>
  <si>
    <t>AI giải thích rằng nhiều nhánh xuất phát từ cùng một node trong flowchart dễ bị hiểu là xử lý song song. Với chương trình Java hiện tại, các thao tác được gọi tuần tự trong HospitalService, vì vậy flowchart nên biểu diễn theo thứ tự thực thi thay vì tách thành nhiều nhánh.</t>
  </si>
  <si>
    <t xml:space="preserve">Critical Thinking: AI chỉ ra một lỗi biểu diễn quan trọng mà ban đầu tôi không để ý. Flowchart cũ có thể khiến người đọc hiểu sai rằng ba cấu trúc dữ liệu được cập nhật đồng thời.
Contextualization: Dự án của nhóm không sử dụng đa luồng trong nghiệp vụ đăng ký hoặc xóa bệnh nhân. Các thao tác đều thực hiện tuần tự trong cùng một luồng xử lý.
Creative Synthesis: Tôi sửa lại các flowchart Register Patient và Delete Patient theo thứ tự: DoublyLinkedList → HashTable → MinHeap, đồng thời bỏ các nhánh song song gây hiểu nhầm.
Decision Ownership: Quyết định giữ flowchart phản ánh đúng luồng thực thi của mã nguồn thay vì tối ưu hình thức trình bày.
</t>
  </si>
  <si>
    <t>010</t>
  </si>
  <si>
    <t>011</t>
  </si>
  <si>
    <t xml:space="preserve"> </t>
  </si>
  <si>
    <t>Ban đầu tôi thiết kế một flowchart duy nhất mô tả toàn bộ hệ thống Smart Hospital, bao gồm tất cả actor, Use Case và thuật toán của các cấu trúc dữ liệu. Sơ đồ quá lớn, khó theo dõi và khó bảo trì khi cần chỉnh sửa.</t>
  </si>
  <si>
    <t>"Hãy đánh giá flowchart hiện tại và đề xuất cách chia nhỏ thành nhiều flowchart nhưng vẫn đảm bảo thể hiện đầy đủ hoạt động của hệ thống."</t>
  </si>
  <si>
    <t>AI đề xuất áp dụng phương pháp phân rã chức năng (functional decomposition), giữ một flowchart tổng quan mô tả các Use Case chính, sau đó tách riêng từng quy trình như Register Patient, Call Patient, Override Priority, Search Patient, View History và Delete Patient thành các flowchart độc lập. Thuật toán của từng cấu trúc dữ liệu được tách thành các sơ đồ riêng thay vì đặt chung trong luồng hệ thống.</t>
  </si>
  <si>
    <t xml:space="preserve">Critical Thinking: AI đề xuất chia nhỏ flowchart nhưng chưa xác định rõ ranh giới giữa flow nghiệp vụ và flow thuật toán. Nếu chia không hợp lý sẽ dẫn đến trùng lặp nội dung giữa các sơ đồ.
Contextualization: Dự án của nhóm sử dụng nhiều cấu trúc dữ liệu (Min-Heap, HashTable, Circular Linked List và Doubly Linked List). Mỗi cấu trúc đều có thuật toán riêng nên cần tách khỏi flow nghiệp vụ để người đọc dễ theo dõi và thuận tiện khi trình bày.
Creative Synthesis: Tôi phân rã hệ thống thành một flowchart tổng quan và bảy flowchart Use Case, đồng thời dành các flowchart thuật toán riêng cho từng cấu trúc dữ liệu. Việc này giúp mỗi sơ đồ chỉ tập trung giải quyết một nhiệm vụ cụ thể và giảm đáng kể độ phức tạp.
Decision Ownership: Quyết định cuối cùng là áp dụng phương pháp functional decomposition thay vì duy trì một flowchart duy nhất. Cách tổ chức này giúp tài liệu rõ ràng hơn, thuận lợi cho việc bảo vệ đồ án và dễ mở rộng khi bổ sung chức năng mới.
</t>
  </si>
  <si>
    <t>So sánh BenchmarkRunner_old.java và BenchmarkRunner.java, kết quả benchmark nhiều round với median.</t>
  </si>
  <si>
    <t xml:space="preserve"> Kết quả benchmark trước và sau khi thay đổi cách đánh giá ngưỡng.</t>
  </si>
  <si>
    <t xml:space="preserve"> Đoạn mã cập nhật UPDATE_THRESHOLD_MS, kết quả benchmark sau khi sửa.</t>
  </si>
  <si>
    <t>Kết quả benchmark nhiều round và thống kê median của từng cấu trúc dữ liệu.</t>
  </si>
  <si>
    <t>Bộ flowchart sau khi tách thành nhiều sơ đồ nhỏ, mỗi sơ đồ chỉ mô tả một Use Case hoặc một thuật toán.</t>
  </si>
  <si>
    <t>Phiên bản flowchart mới thể hiện các thao tác cập nhật cấu trúc dữ liệu theo chuỗi tuần tự thay vì ba nhánh song song.</t>
  </si>
  <si>
    <t xml:space="preserve"> Bộ flowchart cuối cùng gồm 1 sơ đồ tổng quan hệ thống, 7 sơ đồ Use Case và các sơ đồ thuật toán riêng cho từng cấu trúc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</si>
</sst>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9">
    <font>
      <sz val="11"/>
      <color theme="1"/>
      <name val="Calibri"/>
      <family val="2"/>
      <scheme val="minor"/>
    </font>
    <font>
      <b/>
      <sz val="14"/>
      <color rgb="FF2E75B6"/>
      <name val="Calibri"/>
      <family val="2"/>
    </font>
    <font>
      <b/>
      <sz val="11"/>
      <name val="Calibri"/>
      <family val="2"/>
    </font>
    <font>
      <b/>
      <sz val="11"/>
      <color rgb="FFFFFFFF"/>
      <name val="Calibri"/>
      <family val="2"/>
    </font>
    <font>
      <b/>
      <sz val="16"/>
      <color rgb="FFFF0000"/>
      <name val="Calibri"/>
      <family val="2"/>
    </font>
    <font>
      <b/>
      <i/>
      <sz val="10"/>
      <color rgb="FFFF0000"/>
      <name val="Calibri"/>
      <family val="2"/>
    </font>
    <font>
      <sz val="11"/>
      <color theme="1"/>
      <name val="Times New Roman"/>
      <family val="1"/>
    </font>
    <font>
      <b/>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
      <sz val="11"/>
      <color theme="1"/>
      <name val="Times  New Roman"/>
      <charset val="163"/>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2">
    <xf numFmtId="0" fontId="0" fillId="0" borderId="0" xfId="0"/>
    <xf numFmtId="0" fontId="1" fillId="0" borderId="0" xfId="0" applyFont="1"/>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6" fillId="0" borderId="1" xfId="0" applyFont="1" applyBorder="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10" fillId="3" borderId="1" xfId="0" applyFont="1" applyFill="1" applyBorder="1" applyAlignment="1">
      <alignment horizontal="center" vertical="center" wrapText="1"/>
    </xf>
    <xf numFmtId="0" fontId="6" fillId="0" borderId="1" xfId="0" quotePrefix="1" applyFont="1" applyBorder="1" applyAlignment="1">
      <alignment vertical="center" wrapText="1"/>
    </xf>
    <xf numFmtId="0" fontId="6" fillId="0" borderId="1" xfId="0" applyFont="1" applyBorder="1" applyAlignment="1">
      <alignment horizontal="left" vertical="top" wrapText="1"/>
    </xf>
    <xf numFmtId="0" fontId="6" fillId="0" borderId="0" xfId="0" applyFont="1"/>
    <xf numFmtId="0" fontId="11" fillId="0" borderId="0" xfId="0" applyFont="1"/>
    <xf numFmtId="0" fontId="12" fillId="0" borderId="0" xfId="0" applyFont="1"/>
    <xf numFmtId="0" fontId="6" fillId="2" borderId="0" xfId="0" applyFont="1" applyFill="1"/>
    <xf numFmtId="164" fontId="6" fillId="0" borderId="0" xfId="0" applyNumberFormat="1" applyFont="1"/>
    <xf numFmtId="0" fontId="13" fillId="0" borderId="0" xfId="0" applyFont="1"/>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left" vertical="top"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5" fillId="0" borderId="0" xfId="0" applyFont="1"/>
    <xf numFmtId="0" fontId="16" fillId="0" borderId="0" xfId="0" applyFont="1"/>
    <xf numFmtId="0" fontId="17" fillId="0" borderId="0" xfId="0" applyFont="1"/>
    <xf numFmtId="0" fontId="12" fillId="4" borderId="1" xfId="0" applyFont="1" applyFill="1" applyBorder="1" applyAlignment="1">
      <alignment horizontal="center" vertical="center" wrapText="1"/>
    </xf>
    <xf numFmtId="0" fontId="12" fillId="4" borderId="1" xfId="0" applyFont="1" applyFill="1" applyBorder="1" applyAlignment="1">
      <alignment horizontal="left" vertical="top" wrapText="1"/>
    </xf>
    <xf numFmtId="0" fontId="0" fillId="0" borderId="0" xfId="0"/>
    <xf numFmtId="0" fontId="6" fillId="0" borderId="0" xfId="0" applyFont="1"/>
    <xf numFmtId="0" fontId="6" fillId="0" borderId="1" xfId="0" applyFont="1" applyBorder="1" applyAlignment="1">
      <alignment horizontal="left" vertical="center" wrapText="1"/>
    </xf>
    <xf numFmtId="0" fontId="6" fillId="0" borderId="0" xfId="0" applyFont="1" applyAlignment="1">
      <alignment vertical="center"/>
    </xf>
    <xf numFmtId="0" fontId="0" fillId="0" borderId="0" xfId="0" applyAlignment="1">
      <alignment vertical="center"/>
    </xf>
    <xf numFmtId="0" fontId="18" fillId="0" borderId="0" xfId="0" applyFont="1" applyAlignment="1">
      <alignment vertical="center"/>
    </xf>
    <xf numFmtId="0" fontId="6" fillId="0" borderId="0" xfId="0" applyFont="1" applyAlignment="1">
      <alignment vertical="center" wrapText="1"/>
    </xf>
    <xf numFmtId="0" fontId="8" fillId="0" borderId="0" xfId="0" applyFont="1" applyAlignment="1">
      <alignment horizontal="center" vertical="center" wrapText="1"/>
    </xf>
    <xf numFmtId="0" fontId="6" fillId="0" borderId="0" xfId="0" applyFont="1"/>
    <xf numFmtId="0" fontId="9" fillId="0" borderId="0" xfId="0" applyFont="1" applyAlignment="1">
      <alignment horizontal="left" vertical="center" wrapText="1"/>
    </xf>
    <xf numFmtId="0" fontId="6" fillId="0" borderId="0" xfId="0" applyFont="1" applyAlignment="1">
      <alignment vertical="center" wrapText="1"/>
    </xf>
    <xf numFmtId="0" fontId="5" fillId="0" borderId="0" xfId="0" applyFont="1" applyAlignment="1">
      <alignment horizontal="center" vertical="center" wrapText="1"/>
    </xf>
    <xf numFmtId="0" fontId="0" fillId="0" borderId="0" xfId="0"/>
    <xf numFmtId="0" fontId="4" fillId="0" borderId="0" xfId="0" applyFont="1" applyAlignment="1">
      <alignment horizontal="center" vertical="center" wrapText="1"/>
    </xf>
    <xf numFmtId="0" fontId="9"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B25" sqref="B25"/>
    </sheetView>
  </sheetViews>
  <sheetFormatPr defaultRowHeight="14"/>
  <cols>
    <col min="1" max="1" width="25" style="11" customWidth="1"/>
    <col min="2" max="2" width="40" style="11" customWidth="1"/>
    <col min="3" max="3" width="15.90625" style="11" customWidth="1"/>
    <col min="4" max="4" width="30" style="11" customWidth="1"/>
    <col min="5" max="6" width="20" style="11" customWidth="1"/>
    <col min="7" max="16384" width="8.7265625" style="11"/>
  </cols>
  <sheetData>
    <row r="1" spans="1:6">
      <c r="A1" s="34" t="s">
        <v>0</v>
      </c>
      <c r="B1" s="35"/>
      <c r="C1" s="35"/>
      <c r="D1" s="35"/>
      <c r="E1" s="35"/>
      <c r="F1" s="35"/>
    </row>
    <row r="3" spans="1:6" ht="17.5">
      <c r="A3" s="12" t="s">
        <v>1</v>
      </c>
    </row>
    <row r="4" spans="1:6">
      <c r="A4" s="13" t="s">
        <v>2</v>
      </c>
      <c r="C4" s="11" t="s">
        <v>114</v>
      </c>
    </row>
    <row r="5" spans="1:6">
      <c r="A5" s="13" t="s">
        <v>3</v>
      </c>
      <c r="C5" s="11" t="s">
        <v>115</v>
      </c>
    </row>
    <row r="6" spans="1:6">
      <c r="A6" s="13" t="s">
        <v>4</v>
      </c>
      <c r="C6" s="11" t="s">
        <v>116</v>
      </c>
    </row>
    <row r="7" spans="1:6">
      <c r="A7" s="13" t="s">
        <v>5</v>
      </c>
      <c r="C7" s="11" t="s">
        <v>117</v>
      </c>
    </row>
    <row r="9" spans="1:6" ht="17.5">
      <c r="A9" s="12" t="s">
        <v>6</v>
      </c>
    </row>
    <row r="10" spans="1:6">
      <c r="A10" s="13" t="s">
        <v>7</v>
      </c>
      <c r="C10" s="11">
        <v>100</v>
      </c>
    </row>
    <row r="11" spans="1:6">
      <c r="A11" s="13" t="s">
        <v>8</v>
      </c>
      <c r="C11" s="14">
        <v>11</v>
      </c>
    </row>
    <row r="12" spans="1:6">
      <c r="A12" s="13" t="s">
        <v>9</v>
      </c>
      <c r="C12" s="15">
        <f>C11/C10</f>
        <v>0.11</v>
      </c>
      <c r="E12" s="16" t="s">
        <v>10</v>
      </c>
    </row>
    <row r="13" spans="1:6">
      <c r="A13" s="13" t="s">
        <v>11</v>
      </c>
      <c r="C13" s="14">
        <v>2</v>
      </c>
    </row>
    <row r="15" spans="1:6" ht="17.5">
      <c r="A15" s="12" t="s">
        <v>12</v>
      </c>
    </row>
    <row r="16" spans="1:6">
      <c r="A16" s="8" t="s">
        <v>13</v>
      </c>
      <c r="B16" s="8" t="s">
        <v>14</v>
      </c>
      <c r="C16" s="8" t="s">
        <v>15</v>
      </c>
      <c r="D16" s="8" t="s">
        <v>16</v>
      </c>
    </row>
    <row r="17" spans="1:4">
      <c r="A17" s="10" t="s">
        <v>17</v>
      </c>
      <c r="B17" s="10" t="s">
        <v>18</v>
      </c>
      <c r="C17" s="10" t="s">
        <v>19</v>
      </c>
      <c r="D17" s="10" t="s">
        <v>20</v>
      </c>
    </row>
    <row r="18" spans="1:4">
      <c r="A18" s="10" t="s">
        <v>21</v>
      </c>
      <c r="B18" s="10" t="s">
        <v>22</v>
      </c>
      <c r="C18" s="10" t="s">
        <v>23</v>
      </c>
      <c r="D18" s="10" t="s">
        <v>24</v>
      </c>
    </row>
    <row r="19" spans="1:4">
      <c r="A19" s="10" t="s">
        <v>25</v>
      </c>
      <c r="B19" s="10" t="s">
        <v>26</v>
      </c>
      <c r="C19" s="10" t="s">
        <v>19</v>
      </c>
      <c r="D19" s="10" t="s">
        <v>27</v>
      </c>
    </row>
    <row r="20" spans="1:4">
      <c r="A20" s="10" t="s">
        <v>28</v>
      </c>
      <c r="B20" s="10"/>
      <c r="C20" s="10"/>
      <c r="D20" s="10"/>
    </row>
    <row r="22" spans="1:4" ht="17.5">
      <c r="A22" s="12" t="s">
        <v>29</v>
      </c>
    </row>
    <row r="23" spans="1:4">
      <c r="A23" s="8" t="s">
        <v>30</v>
      </c>
      <c r="B23" s="8" t="s">
        <v>31</v>
      </c>
      <c r="C23" s="8" t="s">
        <v>32</v>
      </c>
    </row>
    <row r="24" spans="1:4">
      <c r="A24" s="10" t="s">
        <v>33</v>
      </c>
      <c r="B24" s="17">
        <v>1</v>
      </c>
      <c r="C24" s="18" t="s">
        <v>34</v>
      </c>
    </row>
    <row r="25" spans="1:4">
      <c r="A25" s="10" t="s">
        <v>35</v>
      </c>
      <c r="B25" s="17">
        <v>2</v>
      </c>
      <c r="C25" s="18" t="s">
        <v>34</v>
      </c>
    </row>
    <row r="26" spans="1:4">
      <c r="A26" s="10" t="s">
        <v>36</v>
      </c>
      <c r="B26" s="17">
        <v>2</v>
      </c>
      <c r="C26" s="18" t="s">
        <v>34</v>
      </c>
    </row>
    <row r="27" spans="1:4">
      <c r="A27" s="10" t="s">
        <v>37</v>
      </c>
      <c r="B27" s="17">
        <v>7</v>
      </c>
      <c r="C27" s="18" t="s">
        <v>34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abSelected="1" topLeftCell="E12" workbookViewId="0">
      <selection activeCell="G16" sqref="G16"/>
    </sheetView>
  </sheetViews>
  <sheetFormatPr defaultRowHeight="14.5"/>
  <cols>
    <col min="1" max="1" width="8" customWidth="1"/>
    <col min="2" max="2" width="20.54296875" customWidth="1"/>
    <col min="3" max="3" width="18" customWidth="1"/>
    <col min="4" max="4" width="25" customWidth="1"/>
    <col min="5" max="5" width="30" customWidth="1"/>
    <col min="6" max="6" width="35" customWidth="1"/>
    <col min="7" max="7" width="71.54296875" customWidth="1"/>
    <col min="8" max="8" width="26.81640625" customWidth="1"/>
  </cols>
  <sheetData>
    <row r="1" spans="1:9">
      <c r="A1" s="34" t="s">
        <v>38</v>
      </c>
      <c r="B1" s="37"/>
      <c r="C1" s="37"/>
      <c r="D1" s="37"/>
      <c r="E1" s="37"/>
      <c r="F1" s="37"/>
      <c r="G1" s="37"/>
      <c r="H1" s="37"/>
    </row>
    <row r="2" spans="1:9" ht="30" customHeight="1">
      <c r="A2" s="36" t="s">
        <v>39</v>
      </c>
      <c r="B2" s="37"/>
      <c r="C2" s="37"/>
      <c r="D2" s="37"/>
      <c r="E2" s="37"/>
      <c r="F2" s="37"/>
      <c r="G2" s="37"/>
      <c r="H2" s="37"/>
    </row>
    <row r="3" spans="1:9" ht="40" customHeight="1">
      <c r="A3" s="8" t="s">
        <v>40</v>
      </c>
      <c r="B3" s="8" t="s">
        <v>41</v>
      </c>
      <c r="C3" s="8" t="s">
        <v>42</v>
      </c>
      <c r="D3" s="8" t="s">
        <v>43</v>
      </c>
      <c r="E3" s="8" t="s">
        <v>44</v>
      </c>
      <c r="F3" s="8" t="s">
        <v>45</v>
      </c>
      <c r="G3" s="8" t="s">
        <v>46</v>
      </c>
      <c r="H3" s="8" t="s">
        <v>47</v>
      </c>
    </row>
    <row r="4" spans="1:9" ht="100" customHeight="1">
      <c r="A4" s="5" t="s">
        <v>48</v>
      </c>
      <c r="B4" s="5" t="s">
        <v>49</v>
      </c>
      <c r="C4" s="33" t="s">
        <v>37</v>
      </c>
      <c r="D4" s="33" t="s">
        <v>118</v>
      </c>
      <c r="E4" s="33" t="s">
        <v>119</v>
      </c>
      <c r="F4" s="33" t="s">
        <v>120</v>
      </c>
      <c r="G4" s="33" t="s">
        <v>136</v>
      </c>
      <c r="H4" s="33" t="s">
        <v>121</v>
      </c>
    </row>
    <row r="5" spans="1:9" ht="100" customHeight="1">
      <c r="A5" s="5" t="s">
        <v>50</v>
      </c>
      <c r="B5" s="5" t="s">
        <v>51</v>
      </c>
      <c r="C5" s="5" t="s">
        <v>37</v>
      </c>
      <c r="D5" s="33" t="s">
        <v>122</v>
      </c>
      <c r="E5" s="33" t="s">
        <v>123</v>
      </c>
      <c r="F5" s="33" t="s">
        <v>124</v>
      </c>
      <c r="G5" s="33" t="s">
        <v>137</v>
      </c>
      <c r="H5" s="33" t="s">
        <v>125</v>
      </c>
    </row>
    <row r="6" spans="1:9" ht="80" customHeight="1">
      <c r="A6" s="5" t="s">
        <v>52</v>
      </c>
      <c r="B6" s="33" t="s">
        <v>53</v>
      </c>
      <c r="C6" s="5" t="s">
        <v>37</v>
      </c>
      <c r="D6" s="33" t="s">
        <v>126</v>
      </c>
      <c r="E6" s="33" t="s">
        <v>127</v>
      </c>
      <c r="F6" s="33" t="s">
        <v>128</v>
      </c>
      <c r="G6" s="33" t="s">
        <v>138</v>
      </c>
      <c r="H6" s="33" t="s">
        <v>129</v>
      </c>
    </row>
    <row r="7" spans="1:9" s="11" customFormat="1" ht="80" customHeight="1">
      <c r="A7" s="5" t="s">
        <v>140</v>
      </c>
      <c r="B7" s="30" t="s">
        <v>139</v>
      </c>
      <c r="C7" s="29" t="s">
        <v>35</v>
      </c>
      <c r="D7" s="33" t="s">
        <v>131</v>
      </c>
      <c r="E7" s="29" t="s">
        <v>133</v>
      </c>
      <c r="F7" s="29" t="s">
        <v>132</v>
      </c>
      <c r="G7" s="29" t="s">
        <v>135</v>
      </c>
      <c r="H7" s="29" t="s">
        <v>134</v>
      </c>
    </row>
    <row r="8" spans="1:9" s="11" customFormat="1" ht="80" customHeight="1">
      <c r="A8" s="5" t="s">
        <v>141</v>
      </c>
      <c r="B8" s="29" t="s">
        <v>53</v>
      </c>
      <c r="C8" s="29" t="s">
        <v>37</v>
      </c>
      <c r="D8" s="29" t="s">
        <v>143</v>
      </c>
      <c r="E8" s="29" t="s">
        <v>142</v>
      </c>
      <c r="F8" s="29" t="s">
        <v>145</v>
      </c>
      <c r="G8" s="29" t="s">
        <v>146</v>
      </c>
      <c r="H8" s="29" t="s">
        <v>144</v>
      </c>
    </row>
    <row r="9" spans="1:9" s="30" customFormat="1" ht="93.5" customHeight="1">
      <c r="A9" s="5" t="s">
        <v>163</v>
      </c>
      <c r="B9" s="30" t="s">
        <v>139</v>
      </c>
      <c r="C9" s="30" t="s">
        <v>37</v>
      </c>
      <c r="D9" s="33" t="s">
        <v>155</v>
      </c>
      <c r="E9" s="29" t="s">
        <v>156</v>
      </c>
      <c r="F9" s="29" t="s">
        <v>157</v>
      </c>
      <c r="G9" s="29" t="s">
        <v>158</v>
      </c>
      <c r="H9" s="29" t="s">
        <v>190</v>
      </c>
    </row>
    <row r="10" spans="1:9" s="31" customFormat="1" ht="80" customHeight="1">
      <c r="A10" s="5" t="s">
        <v>164</v>
      </c>
      <c r="B10" s="29" t="s">
        <v>51</v>
      </c>
      <c r="C10" s="29" t="s">
        <v>35</v>
      </c>
      <c r="D10" s="29" t="s">
        <v>159</v>
      </c>
      <c r="E10" s="29" t="s">
        <v>160</v>
      </c>
      <c r="F10" s="29" t="s">
        <v>161</v>
      </c>
      <c r="G10" s="29" t="s">
        <v>162</v>
      </c>
      <c r="H10" s="29" t="s">
        <v>191</v>
      </c>
      <c r="I10" s="32"/>
    </row>
    <row r="11" spans="1:9" s="31" customFormat="1" ht="80" customHeight="1">
      <c r="A11" s="5" t="s">
        <v>165</v>
      </c>
      <c r="B11" s="29" t="s">
        <v>53</v>
      </c>
      <c r="C11" s="29" t="s">
        <v>37</v>
      </c>
      <c r="D11" s="29" t="s">
        <v>167</v>
      </c>
      <c r="E11" s="29" t="s">
        <v>168</v>
      </c>
      <c r="F11" s="29" t="s">
        <v>169</v>
      </c>
      <c r="G11" s="29" t="s">
        <v>170</v>
      </c>
      <c r="H11" s="29" t="s">
        <v>192</v>
      </c>
    </row>
    <row r="12" spans="1:9" s="31" customFormat="1" ht="80" customHeight="1">
      <c r="A12" s="5" t="s">
        <v>166</v>
      </c>
      <c r="B12" s="29" t="s">
        <v>53</v>
      </c>
      <c r="C12" s="29" t="s">
        <v>36</v>
      </c>
      <c r="D12" s="29" t="s">
        <v>171</v>
      </c>
      <c r="E12" s="29" t="s">
        <v>172</v>
      </c>
      <c r="F12" s="29" t="s">
        <v>173</v>
      </c>
      <c r="G12" s="29" t="s">
        <v>178</v>
      </c>
      <c r="H12" s="29" t="s">
        <v>193</v>
      </c>
    </row>
    <row r="13" spans="1:9" s="31" customFormat="1" ht="80" customHeight="1">
      <c r="A13" s="5" t="s">
        <v>183</v>
      </c>
      <c r="B13" s="29" t="s">
        <v>139</v>
      </c>
      <c r="C13" s="29" t="s">
        <v>36</v>
      </c>
      <c r="D13" s="29" t="s">
        <v>174</v>
      </c>
      <c r="E13" s="29" t="s">
        <v>175</v>
      </c>
      <c r="F13" s="29" t="s">
        <v>176</v>
      </c>
      <c r="G13" s="29" t="s">
        <v>177</v>
      </c>
      <c r="H13" s="29" t="s">
        <v>194</v>
      </c>
    </row>
    <row r="14" spans="1:9" s="31" customFormat="1" ht="80" customHeight="1">
      <c r="A14" s="5" t="s">
        <v>184</v>
      </c>
      <c r="B14" s="29" t="s">
        <v>53</v>
      </c>
      <c r="C14" s="29" t="s">
        <v>37</v>
      </c>
      <c r="D14" s="29" t="s">
        <v>179</v>
      </c>
      <c r="E14" s="29" t="s">
        <v>180</v>
      </c>
      <c r="F14" s="29" t="s">
        <v>181</v>
      </c>
      <c r="G14" s="29" t="s">
        <v>182</v>
      </c>
      <c r="H14" s="29" t="s">
        <v>195</v>
      </c>
    </row>
    <row r="15" spans="1:9" s="31" customFormat="1" ht="80" customHeight="1">
      <c r="A15" s="29"/>
      <c r="B15" s="29" t="s">
        <v>139</v>
      </c>
      <c r="C15" s="29" t="s">
        <v>33</v>
      </c>
      <c r="D15" s="29" t="s">
        <v>186</v>
      </c>
      <c r="E15" s="29" t="s">
        <v>187</v>
      </c>
      <c r="F15" s="29" t="s">
        <v>188</v>
      </c>
      <c r="G15" s="29" t="s">
        <v>189</v>
      </c>
      <c r="H15" s="29" t="s">
        <v>196</v>
      </c>
    </row>
    <row r="16" spans="1:9" ht="80" customHeight="1">
      <c r="A16" s="3"/>
      <c r="B16" s="3"/>
      <c r="C16" s="3"/>
      <c r="D16" s="3"/>
      <c r="E16" s="3"/>
      <c r="F16" s="3"/>
      <c r="G16" s="3"/>
      <c r="H16" s="3"/>
    </row>
    <row r="17" spans="1:8" ht="80" customHeight="1">
      <c r="A17" s="3"/>
      <c r="B17" s="3"/>
      <c r="C17" s="3"/>
      <c r="D17" s="3"/>
      <c r="E17" s="3"/>
      <c r="F17" s="3"/>
      <c r="G17" s="3"/>
      <c r="H17" s="3"/>
    </row>
    <row r="18" spans="1:8" ht="80" customHeight="1">
      <c r="A18" s="3"/>
      <c r="B18" s="3"/>
      <c r="C18" s="3"/>
      <c r="D18" s="3"/>
      <c r="E18" s="3"/>
      <c r="F18" s="3"/>
      <c r="G18" s="3"/>
      <c r="H18" s="3"/>
    </row>
    <row r="19" spans="1:8" ht="80" customHeight="1">
      <c r="A19" s="3"/>
      <c r="B19" s="3"/>
      <c r="C19" s="3"/>
      <c r="D19" s="3"/>
      <c r="E19" s="3"/>
      <c r="F19" s="3"/>
      <c r="G19" s="3"/>
      <c r="H19" s="3"/>
    </row>
    <row r="20" spans="1:8" ht="80" customHeight="1">
      <c r="A20" s="3"/>
      <c r="B20" s="3"/>
      <c r="C20" s="3"/>
      <c r="D20" s="3"/>
      <c r="E20" s="3"/>
      <c r="F20" s="3"/>
      <c r="G20" s="3"/>
      <c r="H20" s="3"/>
    </row>
    <row r="21" spans="1:8" ht="80" customHeight="1">
      <c r="A21" s="3"/>
      <c r="B21" s="3"/>
      <c r="C21" s="3"/>
      <c r="D21" s="3"/>
      <c r="E21" s="3"/>
      <c r="F21" s="3"/>
      <c r="G21" s="3"/>
      <c r="H21" s="3"/>
    </row>
    <row r="22" spans="1:8" ht="80" customHeight="1">
      <c r="A22" s="3"/>
      <c r="B22" s="3"/>
      <c r="C22" s="3"/>
      <c r="D22" s="3"/>
      <c r="E22" s="3"/>
      <c r="F22" s="3"/>
      <c r="G22" s="3"/>
      <c r="H22" s="3"/>
    </row>
    <row r="23" spans="1:8" ht="80" customHeight="1">
      <c r="A23" s="3"/>
      <c r="B23" s="3"/>
      <c r="C23" s="3"/>
      <c r="D23" s="3"/>
      <c r="E23" s="3"/>
      <c r="F23" s="3"/>
      <c r="G23" s="3"/>
      <c r="H23" s="3"/>
    </row>
    <row r="24" spans="1:8" ht="80" customHeight="1">
      <c r="A24" s="3"/>
      <c r="B24" s="3"/>
      <c r="C24" s="3"/>
      <c r="D24" s="3"/>
      <c r="E24" s="3"/>
      <c r="F24" s="3"/>
      <c r="G24" s="3"/>
      <c r="H24" s="3"/>
    </row>
    <row r="25" spans="1:8" ht="80" customHeight="1">
      <c r="A25" s="3"/>
      <c r="B25" s="3"/>
      <c r="C25" s="3"/>
      <c r="D25" s="3"/>
      <c r="E25" s="3"/>
      <c r="F25" s="3"/>
      <c r="G25" s="3"/>
      <c r="H25" s="3"/>
    </row>
  </sheetData>
  <mergeCells count="2">
    <mergeCell ref="A2:H2"/>
    <mergeCell ref="A1:H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opLeftCell="B1" workbookViewId="0">
      <selection activeCell="F5" sqref="F5"/>
    </sheetView>
  </sheetViews>
  <sheetFormatPr defaultRowHeight="14.5"/>
  <cols>
    <col min="1" max="1" width="12" customWidth="1"/>
    <col min="2" max="2" width="22" customWidth="1"/>
    <col min="3" max="6" width="30" customWidth="1"/>
  </cols>
  <sheetData>
    <row r="1" spans="1:8">
      <c r="A1" s="40" t="s">
        <v>54</v>
      </c>
      <c r="B1" s="39"/>
      <c r="C1" s="39"/>
      <c r="D1" s="39"/>
      <c r="E1" s="39"/>
      <c r="F1" s="39"/>
    </row>
    <row r="2" spans="1:8">
      <c r="A2" s="38" t="s">
        <v>55</v>
      </c>
      <c r="B2" s="39"/>
      <c r="C2" s="39"/>
      <c r="D2" s="39"/>
      <c r="E2" s="39"/>
      <c r="F2" s="39"/>
    </row>
    <row r="3" spans="1:8" ht="40" customHeight="1">
      <c r="A3" s="2" t="s">
        <v>56</v>
      </c>
      <c r="B3" s="2" t="s">
        <v>57</v>
      </c>
      <c r="C3" s="2" t="s">
        <v>58</v>
      </c>
      <c r="D3" s="2" t="s">
        <v>59</v>
      </c>
      <c r="E3" s="2" t="s">
        <v>60</v>
      </c>
      <c r="F3" s="2" t="s">
        <v>61</v>
      </c>
    </row>
    <row r="4" spans="1:8" s="27" customFormat="1" ht="80" customHeight="1">
      <c r="A4" s="9" t="s">
        <v>52</v>
      </c>
      <c r="B4" s="6" t="s">
        <v>130</v>
      </c>
      <c r="C4" s="5" t="s">
        <v>147</v>
      </c>
      <c r="D4" s="6" t="s">
        <v>148</v>
      </c>
      <c r="E4" s="6" t="s">
        <v>149</v>
      </c>
      <c r="F4" s="6" t="s">
        <v>150</v>
      </c>
      <c r="G4" s="7"/>
      <c r="H4" s="6"/>
    </row>
    <row r="5" spans="1:8" s="28" customFormat="1" ht="80" customHeight="1">
      <c r="A5" s="5" t="s">
        <v>141</v>
      </c>
      <c r="B5" s="29" t="s">
        <v>78</v>
      </c>
      <c r="C5" s="29" t="s">
        <v>151</v>
      </c>
      <c r="D5" s="29" t="s">
        <v>152</v>
      </c>
      <c r="E5" s="29" t="s">
        <v>153</v>
      </c>
      <c r="F5" s="29" t="s">
        <v>154</v>
      </c>
      <c r="G5" s="29"/>
      <c r="H5" s="29"/>
    </row>
    <row r="6" spans="1:8" ht="60" customHeight="1">
      <c r="A6" s="3"/>
      <c r="B6" s="3"/>
      <c r="C6" s="3"/>
      <c r="D6" s="3"/>
      <c r="E6" s="3"/>
      <c r="F6" s="3"/>
    </row>
    <row r="7" spans="1:8" ht="60" customHeight="1">
      <c r="A7" s="3"/>
      <c r="B7" s="3"/>
      <c r="C7" s="3"/>
      <c r="D7" s="3"/>
      <c r="E7" s="3"/>
      <c r="F7" s="3"/>
    </row>
    <row r="8" spans="1:8" ht="60" customHeight="1">
      <c r="A8" s="3"/>
      <c r="B8" s="3"/>
      <c r="C8" s="3"/>
      <c r="D8" s="3"/>
      <c r="E8" s="3"/>
      <c r="F8" s="3"/>
    </row>
    <row r="9" spans="1:8" ht="60" customHeight="1">
      <c r="A9" s="3"/>
      <c r="B9" s="3"/>
      <c r="C9" s="3"/>
      <c r="D9" s="3"/>
      <c r="E9" s="3"/>
      <c r="F9" s="3"/>
    </row>
    <row r="10" spans="1:8" ht="60" customHeight="1">
      <c r="A10" s="3"/>
      <c r="B10" s="3"/>
      <c r="C10" s="3"/>
      <c r="D10" s="3"/>
      <c r="E10" s="3"/>
      <c r="F10" s="3"/>
    </row>
    <row r="11" spans="1:8" ht="60" customHeight="1">
      <c r="A11" s="3"/>
      <c r="B11" s="3"/>
      <c r="C11" s="3"/>
      <c r="D11" s="3"/>
      <c r="E11" s="3"/>
      <c r="F11" s="3"/>
    </row>
    <row r="12" spans="1:8" ht="60" customHeight="1">
      <c r="A12" s="3"/>
      <c r="B12" s="3"/>
      <c r="C12" s="3"/>
      <c r="D12" s="3"/>
      <c r="E12" s="3"/>
      <c r="F12" s="3"/>
    </row>
    <row r="13" spans="1:8" ht="60" customHeight="1">
      <c r="A13" s="3"/>
      <c r="B13" s="3"/>
      <c r="C13" s="3"/>
      <c r="D13" s="3"/>
      <c r="E13" s="3"/>
      <c r="F13" s="3"/>
    </row>
    <row r="14" spans="1:8" ht="60" customHeight="1">
      <c r="A14" s="3"/>
      <c r="B14" s="3"/>
      <c r="C14" s="3"/>
      <c r="D14" s="3"/>
      <c r="E14" s="3"/>
      <c r="F14" s="3"/>
    </row>
    <row r="15" spans="1:8" ht="60" customHeight="1">
      <c r="A15" s="3"/>
      <c r="B15" s="3"/>
      <c r="C15" s="3"/>
      <c r="D15" s="3"/>
      <c r="E15" s="3"/>
      <c r="F15" s="3"/>
    </row>
    <row r="16" spans="1:8" ht="60" customHeight="1">
      <c r="A16" s="3"/>
      <c r="B16" s="3"/>
      <c r="C16" s="3"/>
      <c r="D16" s="3"/>
      <c r="E16" s="3"/>
      <c r="F16" s="3"/>
    </row>
    <row r="17" spans="1:6" ht="60" customHeight="1">
      <c r="A17" s="3"/>
      <c r="B17" s="3"/>
      <c r="C17" s="3"/>
      <c r="D17" s="3"/>
      <c r="E17" s="3"/>
      <c r="F17" s="3"/>
    </row>
    <row r="18" spans="1:6" ht="60" customHeight="1">
      <c r="A18" s="3"/>
      <c r="B18" s="3"/>
      <c r="C18" s="3"/>
      <c r="D18" s="3"/>
      <c r="E18" s="3"/>
      <c r="F18" s="3"/>
    </row>
    <row r="19" spans="1:6" ht="60" customHeight="1">
      <c r="A19" s="3"/>
      <c r="B19" s="3"/>
      <c r="C19" s="3"/>
      <c r="D19" s="3"/>
      <c r="E19" s="3"/>
      <c r="F19" s="3"/>
    </row>
    <row r="20" spans="1:6" ht="60" customHeight="1">
      <c r="A20" s="3"/>
      <c r="B20" s="3"/>
      <c r="C20" s="3"/>
      <c r="D20" s="3"/>
      <c r="E20" s="3"/>
      <c r="F20" s="3"/>
    </row>
    <row r="21" spans="1:6" ht="60" customHeight="1">
      <c r="A21" s="3"/>
      <c r="B21" s="3"/>
      <c r="C21" s="3"/>
      <c r="D21" s="3"/>
      <c r="E21" s="3"/>
      <c r="F21" s="3"/>
    </row>
    <row r="22" spans="1:6" ht="60" customHeight="1">
      <c r="A22" s="3"/>
      <c r="B22" s="3"/>
      <c r="C22" s="3"/>
      <c r="D22" s="3"/>
      <c r="E22" s="3"/>
      <c r="F22" s="3"/>
    </row>
    <row r="23" spans="1:6" ht="60" customHeight="1">
      <c r="A23" s="3"/>
      <c r="B23" s="3"/>
      <c r="C23" s="3"/>
      <c r="D23" s="3"/>
      <c r="E23" s="3"/>
      <c r="F23" s="3"/>
    </row>
    <row r="24" spans="1:6" ht="60" customHeight="1">
      <c r="A24" s="3"/>
      <c r="B24" s="3"/>
      <c r="C24" s="3"/>
      <c r="D24" s="3"/>
      <c r="E24" s="3"/>
      <c r="F24" s="3"/>
    </row>
    <row r="30" spans="1:6" ht="18.5">
      <c r="A30" s="1" t="s">
        <v>63</v>
      </c>
    </row>
    <row r="31" spans="1:6">
      <c r="A31" s="4" t="s">
        <v>64</v>
      </c>
      <c r="B31" s="4" t="s">
        <v>65</v>
      </c>
      <c r="C31" s="4" t="s">
        <v>66</v>
      </c>
    </row>
    <row r="32" spans="1:6" ht="29">
      <c r="A32" s="3" t="s">
        <v>62</v>
      </c>
      <c r="B32" s="3" t="s">
        <v>67</v>
      </c>
      <c r="C32" s="3" t="s">
        <v>68</v>
      </c>
    </row>
    <row r="33" spans="1:3" ht="29">
      <c r="A33" s="3" t="s">
        <v>69</v>
      </c>
      <c r="B33" s="3" t="s">
        <v>70</v>
      </c>
      <c r="C33" s="3" t="s">
        <v>71</v>
      </c>
    </row>
    <row r="34" spans="1:3" ht="29">
      <c r="A34" s="3" t="s">
        <v>72</v>
      </c>
      <c r="B34" s="3" t="s">
        <v>73</v>
      </c>
      <c r="C34" s="3" t="s">
        <v>74</v>
      </c>
    </row>
    <row r="35" spans="1:3" ht="29">
      <c r="A35" s="3" t="s">
        <v>75</v>
      </c>
      <c r="B35" s="3" t="s">
        <v>76</v>
      </c>
      <c r="C35" s="3" t="s">
        <v>77</v>
      </c>
    </row>
    <row r="36" spans="1:3" ht="43.5">
      <c r="A36" s="3" t="s">
        <v>78</v>
      </c>
      <c r="B36" s="3" t="s">
        <v>79</v>
      </c>
      <c r="C36" s="3" t="s">
        <v>80</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D6" sqref="D6"/>
    </sheetView>
  </sheetViews>
  <sheetFormatPr defaultRowHeight="14"/>
  <cols>
    <col min="1" max="1" width="8" style="11" customWidth="1"/>
    <col min="2" max="2" width="60" style="11" customWidth="1"/>
    <col min="3" max="3" width="10" style="11" customWidth="1"/>
    <col min="4" max="4" width="30" style="11" customWidth="1"/>
    <col min="5" max="16384" width="8.7265625" style="11"/>
  </cols>
  <sheetData>
    <row r="1" spans="1:4">
      <c r="A1" s="34" t="s">
        <v>81</v>
      </c>
      <c r="B1" s="35"/>
      <c r="C1" s="35"/>
      <c r="D1" s="35"/>
    </row>
    <row r="2" spans="1:4">
      <c r="A2" s="41" t="s">
        <v>82</v>
      </c>
      <c r="B2" s="35"/>
      <c r="C2" s="35"/>
      <c r="D2" s="35"/>
    </row>
    <row r="4" spans="1:4" ht="17.5">
      <c r="A4" s="12" t="s">
        <v>83</v>
      </c>
    </row>
    <row r="5" spans="1:4">
      <c r="A5" s="8" t="s">
        <v>84</v>
      </c>
      <c r="B5" s="19" t="s">
        <v>85</v>
      </c>
      <c r="C5" s="8" t="s">
        <v>86</v>
      </c>
      <c r="D5" s="19" t="s">
        <v>87</v>
      </c>
    </row>
    <row r="6" spans="1:4">
      <c r="A6" s="20" t="s">
        <v>88</v>
      </c>
      <c r="B6" s="21" t="s">
        <v>89</v>
      </c>
      <c r="C6" s="20" t="s">
        <v>90</v>
      </c>
      <c r="D6" s="21" t="s">
        <v>185</v>
      </c>
    </row>
    <row r="7" spans="1:4">
      <c r="A7" s="20" t="s">
        <v>91</v>
      </c>
      <c r="B7" s="21" t="s">
        <v>92</v>
      </c>
      <c r="C7" s="20" t="s">
        <v>90</v>
      </c>
      <c r="D7" s="21"/>
    </row>
    <row r="8" spans="1:4">
      <c r="A8" s="20" t="s">
        <v>93</v>
      </c>
      <c r="B8" s="21" t="s">
        <v>94</v>
      </c>
      <c r="C8" s="20" t="s">
        <v>90</v>
      </c>
      <c r="D8" s="21"/>
    </row>
    <row r="9" spans="1:4">
      <c r="A9" s="20" t="s">
        <v>95</v>
      </c>
      <c r="B9" s="21" t="s">
        <v>96</v>
      </c>
      <c r="C9" s="20" t="s">
        <v>90</v>
      </c>
      <c r="D9" s="21"/>
    </row>
    <row r="10" spans="1:4">
      <c r="A10" s="20" t="s">
        <v>97</v>
      </c>
      <c r="B10" s="21" t="s">
        <v>98</v>
      </c>
      <c r="C10" s="20" t="s">
        <v>90</v>
      </c>
      <c r="D10" s="21"/>
    </row>
    <row r="12" spans="1:4" ht="17.5">
      <c r="A12" s="12" t="s">
        <v>99</v>
      </c>
    </row>
    <row r="13" spans="1:4">
      <c r="A13" s="8" t="s">
        <v>84</v>
      </c>
      <c r="B13" s="19" t="s">
        <v>85</v>
      </c>
      <c r="C13" s="8" t="s">
        <v>86</v>
      </c>
      <c r="D13" s="19" t="s">
        <v>100</v>
      </c>
    </row>
    <row r="14" spans="1:4">
      <c r="A14" s="20" t="s">
        <v>88</v>
      </c>
      <c r="B14" s="21" t="s">
        <v>101</v>
      </c>
      <c r="C14" s="20" t="s">
        <v>90</v>
      </c>
      <c r="D14" s="21"/>
    </row>
    <row r="15" spans="1:4">
      <c r="A15" s="20" t="s">
        <v>91</v>
      </c>
      <c r="B15" s="21" t="s">
        <v>102</v>
      </c>
      <c r="C15" s="20" t="s">
        <v>90</v>
      </c>
      <c r="D15" s="21"/>
    </row>
    <row r="16" spans="1:4">
      <c r="A16" s="20" t="s">
        <v>93</v>
      </c>
      <c r="B16" s="21" t="s">
        <v>103</v>
      </c>
      <c r="C16" s="20" t="s">
        <v>90</v>
      </c>
      <c r="D16" s="21"/>
    </row>
    <row r="17" spans="1:4">
      <c r="A17" s="20" t="s">
        <v>95</v>
      </c>
      <c r="B17" s="21" t="s">
        <v>104</v>
      </c>
      <c r="C17" s="20" t="s">
        <v>90</v>
      </c>
      <c r="D17" s="21"/>
    </row>
    <row r="18" spans="1:4">
      <c r="A18" s="20" t="s">
        <v>97</v>
      </c>
      <c r="B18" s="21" t="s">
        <v>105</v>
      </c>
      <c r="C18" s="20" t="s">
        <v>90</v>
      </c>
      <c r="D18" s="21"/>
    </row>
    <row r="20" spans="1:4" ht="15">
      <c r="A20" s="22" t="s">
        <v>106</v>
      </c>
    </row>
    <row r="21" spans="1:4">
      <c r="A21" s="23" t="s">
        <v>107</v>
      </c>
    </row>
    <row r="22" spans="1:4">
      <c r="A22" s="23" t="s">
        <v>108</v>
      </c>
    </row>
    <row r="25" spans="1:4" ht="17.5">
      <c r="A25" s="12" t="s">
        <v>109</v>
      </c>
    </row>
    <row r="26" spans="1:4">
      <c r="A26" s="24" t="s">
        <v>110</v>
      </c>
    </row>
    <row r="27" spans="1:4" ht="42">
      <c r="A27" s="25" t="s">
        <v>40</v>
      </c>
      <c r="B27" s="26" t="s">
        <v>111</v>
      </c>
      <c r="C27" s="26" t="s">
        <v>112</v>
      </c>
      <c r="D27" s="26" t="s">
        <v>113</v>
      </c>
    </row>
    <row r="28" spans="1:4">
      <c r="A28" s="18" t="s">
        <v>48</v>
      </c>
      <c r="B28" s="10"/>
      <c r="C28" s="10"/>
      <c r="D28" s="10"/>
    </row>
    <row r="29" spans="1:4">
      <c r="A29" s="18" t="s">
        <v>50</v>
      </c>
      <c r="B29" s="10"/>
      <c r="C29" s="10"/>
      <c r="D29" s="10"/>
    </row>
    <row r="30" spans="1:4">
      <c r="A30" s="18" t="s">
        <v>52</v>
      </c>
      <c r="B30" s="10"/>
      <c r="C30" s="10"/>
      <c r="D30" s="10"/>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PHUONG THAO</cp:lastModifiedBy>
  <dcterms:created xsi:type="dcterms:W3CDTF">2026-05-07T22:28:42Z</dcterms:created>
  <dcterms:modified xsi:type="dcterms:W3CDTF">2026-07-04T16:01:20Z</dcterms:modified>
</cp:coreProperties>
</file>